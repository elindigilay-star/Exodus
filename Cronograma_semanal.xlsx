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sof\My_Proyecto\Exodus\"/>
    </mc:Choice>
  </mc:AlternateContent>
  <xr:revisionPtr revIDLastSave="0" documentId="8_{66A79C33-3DE2-4802-AA77-8F2EF0280FC2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Cronograma semanal" sheetId="1" r:id="rId1"/>
  </sheets>
  <definedNames>
    <definedName name="_xlnm.Print_Area" localSheetId="0">'Cronograma semanal'!$A$1:$G$10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G4" i="1"/>
  <c r="C9" i="1"/>
  <c r="D9" i="1"/>
  <c r="E9" i="1"/>
  <c r="G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000-000001000000}">
      <text>
        <r>
          <rPr>
            <sz val="10"/>
            <rFont val="Arial"/>
            <family val="2"/>
          </rPr>
          <t>Escriba la fecha del lunes de la semana. Las fechas de cada día se calculan solas.</t>
        </r>
      </text>
    </comment>
  </commentList>
</comments>
</file>

<file path=xl/sharedStrings.xml><?xml version="1.0" encoding="utf-8"?>
<sst xmlns="http://schemas.openxmlformats.org/spreadsheetml/2006/main" count="28" uniqueCount="28">
  <si>
    <t>CRONOGRAMA SEMANAL DE ACTIVIDADES</t>
  </si>
  <si>
    <t>Instructor:</t>
  </si>
  <si>
    <t>Semana del (lunes):</t>
  </si>
  <si>
    <t>Programa:</t>
  </si>
  <si>
    <t>Jornada</t>
  </si>
  <si>
    <t>Horario</t>
  </si>
  <si>
    <t>Lunes</t>
  </si>
  <si>
    <t>Martes</t>
  </si>
  <si>
    <t>Miércoles</t>
  </si>
  <si>
    <t>Jueves</t>
  </si>
  <si>
    <t>Viernes</t>
  </si>
  <si>
    <t>Proyecto</t>
  </si>
  <si>
    <t>REGISTRO SEMANAL DE ACTIVIDADES POR ROL</t>
  </si>
  <si>
    <t>Resumen de la semana</t>
  </si>
  <si>
    <t>Escriba el nombre de cada rol en la columna A (reemplace 'Rol 1…4') y en cada día lo que realizó. Las fechas se toman de la semana indicada arriba.</t>
  </si>
  <si>
    <t>Al (viernes):</t>
  </si>
  <si>
    <t>Control de Cambio</t>
  </si>
  <si>
    <t>Github</t>
  </si>
  <si>
    <t xml:space="preserve">Rol  Camilo Meza backend and frontend </t>
  </si>
  <si>
    <t>refactorizacion de estilos y actualizacion archivos binarios, actualizacion de colores de enfoques y botones para unificar el estilo agreagar botones de accion en tables mejorar el estilo de edicion y eliminacion de usuario, realizado en css y modulo de usuario</t>
  </si>
  <si>
    <t>Rol Andres Leudo frontend and backend</t>
  </si>
  <si>
    <t>implemetacion de configuarion y segurida al Exodus Funcionalidad: Incorporación de la gestión de roles y parámetros al módulo de configuración
- Se implementaron nuevas tablas en la base de datos para roles, permisos y parámetros.
- Se crearon rutas y plantillas para la gestión de roles y parámetros.
- Se mejoró la funcionalidad de inicio de sesión para recordar a los usuarios de forma segura mediante cookies firmadas.
- Se actualizó la navegación para incluir enlaces a la gestión de roles y parámetros.
- Se añadieron formularios para crear, editar y eliminar roles y parámetros.
- Se implementaron comprobaciones de permisos para la gestión de roles.</t>
  </si>
  <si>
    <t>Rol Nicolas Berrio frontend and backend</t>
  </si>
  <si>
    <t>EXODUS</t>
  </si>
  <si>
    <t>Maria Teresa Slcedo</t>
  </si>
  <si>
    <t>ADSO-Analisis y desarrollo de software</t>
  </si>
  <si>
    <t>Refactorización del esquema de la base de datos y actualización de archivos binarios
- Se actualizó el esquema SQL en `sistema_contable.sql` para incluir nuevas tablas: `aportes`, `deducciones`, `empleados`, `movimientos_inventario`, `nomina`, `novedades`, `parametros`, `permisos`, `productos`, `roles` y `rol_permiso`.
- Se añadieron claves primarias y restricciones de clave foránea para las nuevas tablas.
- Se modificó la tabla `usuarios` para incluir los campos `usuario` y `clave_hash`.
- Se actualizaron las sentencias `INSERT` para la tabla `usuarios`, incluyendo contraseñas cifradas mediante hash.
- Se actualizaron los archivos binarios en los directorios `__pycache__` de diversos módulos para reflejar los cambios recientes en el código.</t>
  </si>
  <si>
    <t>En consolidacion_service.py Se agregó el campo valor_inventario_inicial a los datos consolidados.
Esto lo que hace es  que el servicio de equilibrio calcule el cambio de inventario correcto.
En balance_service.py
Se cambió la fórmula del flujo de caja de restar compras_inventario (compras totales) a restar cambio_inventario (inventario final - inicial)
Ahora usa correctamente consolidado['valor_inventario_inicial'] del servicio de consolidación
El sistema ahora está completo y los tres estados financieros reflejan adecuadamente los datos de los módulos de nómina e inventario.
 Acabar de explicar. No hay más cambios necesarios a menos que quieras probar con datos históricos que tengan inventario inicial distinto de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</si>
</sst>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Calibri"/>
      <family val="2"/>
      <charset val="1"/>
    </font>
    <font>
      <b/>
      <sz val="16"/>
      <color rgb="FF2E7D3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B5E20"/>
      <name val="Arial"/>
      <charset val="1"/>
    </font>
    <font>
      <sz val="10"/>
      <name val="Arial"/>
      <family val="2"/>
    </font>
    <font>
      <b/>
      <sz val="12"/>
      <color rgb="FF2E7D32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i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3E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2F2F2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0" fillId="0" borderId="0" xfId="0"/>
    <xf numFmtId="0" fontId="7" fillId="0" borderId="0" xfId="0" applyFont="1" applyAlignment="1">
      <alignment horizontal="center"/>
    </xf>
    <xf numFmtId="0" fontId="0" fillId="0" borderId="0" xfId="0"/>
    <xf numFmtId="0" fontId="10" fillId="9" borderId="3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A6A6A6"/>
      <rgbColor rgb="FF003366"/>
      <rgbColor rgb="FF2E7D32"/>
      <rgbColor rgb="FF003300"/>
      <rgbColor rgb="FF333300"/>
      <rgbColor rgb="FF993300"/>
      <rgbColor rgb="FF993366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3F9A96-165C-4F3D-A4BA-FFB5A17C7363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19144c11-9597-4728-b0d4-efa2d921a1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showGridLines="0" tabSelected="1" topLeftCell="A11" zoomScale="70" zoomScaleNormal="70" workbookViewId="0">
      <selection activeCell="G3" sqref="G3"/>
    </sheetView>
  </sheetViews>
  <sheetFormatPr baseColWidth="10" defaultColWidth="8.6328125" defaultRowHeight="14.5" x14ac:dyDescent="0.35"/>
  <cols>
    <col min="1" max="1" width="18.453125" customWidth="1"/>
    <col min="2" max="2" width="14" customWidth="1"/>
    <col min="3" max="7" width="20" customWidth="1"/>
    <col min="8" max="8" width="29.08984375" customWidth="1"/>
    <col min="9" max="9" width="16.90625" bestFit="1" customWidth="1"/>
  </cols>
  <sheetData>
    <row r="1" spans="1:9" ht="27.75" customHeight="1" x14ac:dyDescent="0.4">
      <c r="A1" s="16" t="s">
        <v>0</v>
      </c>
      <c r="B1" s="16"/>
      <c r="C1" s="16"/>
      <c r="D1" s="16"/>
      <c r="E1" s="16"/>
      <c r="F1" s="16"/>
      <c r="G1" s="16"/>
    </row>
    <row r="3" spans="1:9" x14ac:dyDescent="0.35">
      <c r="A3" s="1" t="s">
        <v>1</v>
      </c>
      <c r="B3" s="17" t="s">
        <v>24</v>
      </c>
      <c r="C3" s="17"/>
      <c r="D3" s="17"/>
      <c r="F3" s="1" t="s">
        <v>2</v>
      </c>
      <c r="G3" s="2">
        <v>46307</v>
      </c>
    </row>
    <row r="4" spans="1:9" x14ac:dyDescent="0.35">
      <c r="A4" s="1" t="s">
        <v>3</v>
      </c>
      <c r="B4" s="17" t="s">
        <v>25</v>
      </c>
      <c r="C4" s="17"/>
      <c r="D4" s="17"/>
      <c r="F4" s="1" t="s">
        <v>15</v>
      </c>
      <c r="G4" s="3">
        <f>G3+4</f>
        <v>46311</v>
      </c>
    </row>
    <row r="5" spans="1:9" x14ac:dyDescent="0.35">
      <c r="A5" s="1" t="s">
        <v>11</v>
      </c>
      <c r="B5" s="17" t="s">
        <v>23</v>
      </c>
      <c r="C5" s="17"/>
      <c r="D5" s="17"/>
    </row>
    <row r="6" spans="1:9" ht="39" customHeight="1" x14ac:dyDescent="0.35">
      <c r="A6" s="12" t="s">
        <v>12</v>
      </c>
      <c r="B6" s="13"/>
      <c r="C6" s="13"/>
      <c r="D6" s="13"/>
      <c r="E6" s="13"/>
      <c r="F6" s="13"/>
      <c r="G6" s="13"/>
      <c r="H6" s="13"/>
    </row>
    <row r="8" spans="1:9" x14ac:dyDescent="0.3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7" t="s">
        <v>13</v>
      </c>
      <c r="I8" s="7" t="s">
        <v>16</v>
      </c>
    </row>
    <row r="9" spans="1:9" x14ac:dyDescent="0.35">
      <c r="A9" s="5"/>
      <c r="B9" s="5"/>
      <c r="C9" s="6">
        <f>$G$3+0</f>
        <v>46307</v>
      </c>
      <c r="D9" s="6">
        <f>$G$3+1</f>
        <v>46308</v>
      </c>
      <c r="E9" s="6">
        <f>$G$3+2</f>
        <v>46309</v>
      </c>
      <c r="F9" s="6">
        <f>$G$3+3</f>
        <v>46310</v>
      </c>
      <c r="G9" s="6">
        <f>$G$3+4</f>
        <v>46311</v>
      </c>
      <c r="H9" s="6"/>
      <c r="I9" s="6" t="s">
        <v>17</v>
      </c>
    </row>
    <row r="10" spans="1:9" ht="409.5" customHeight="1" x14ac:dyDescent="0.35">
      <c r="A10" s="8" t="s">
        <v>18</v>
      </c>
      <c r="B10" s="9"/>
      <c r="C10" s="10"/>
      <c r="D10" s="10"/>
      <c r="E10" s="10" t="s">
        <v>19</v>
      </c>
      <c r="F10" s="10" t="s">
        <v>26</v>
      </c>
      <c r="G10" s="10"/>
      <c r="H10" s="10"/>
      <c r="I10" s="10"/>
    </row>
    <row r="11" spans="1:9" s="11" customFormat="1" ht="391.5" customHeight="1" x14ac:dyDescent="0.35">
      <c r="A11" s="8"/>
      <c r="B11" s="9"/>
      <c r="C11" s="10"/>
      <c r="D11" s="10"/>
      <c r="E11" s="10" t="s">
        <v>27</v>
      </c>
      <c r="F11" s="10"/>
      <c r="G11" s="10"/>
      <c r="H11" s="10"/>
      <c r="I11" s="10"/>
    </row>
    <row r="12" spans="1:9" ht="371" customHeight="1" x14ac:dyDescent="0.35">
      <c r="A12" s="8" t="s">
        <v>20</v>
      </c>
      <c r="B12" s="9"/>
      <c r="C12" s="10"/>
      <c r="D12" s="10"/>
      <c r="E12" s="10"/>
      <c r="F12" s="10" t="s">
        <v>21</v>
      </c>
      <c r="G12" s="10"/>
      <c r="H12" s="10"/>
      <c r="I12" s="10"/>
    </row>
    <row r="13" spans="1:9" ht="378" customHeight="1" x14ac:dyDescent="0.35">
      <c r="A13" s="8" t="s">
        <v>22</v>
      </c>
      <c r="B13" s="9"/>
      <c r="C13" s="10"/>
      <c r="D13" s="10"/>
      <c r="E13" s="10"/>
      <c r="F13" s="10"/>
      <c r="G13" s="10"/>
      <c r="H13" s="10"/>
      <c r="I13" s="10"/>
    </row>
    <row r="14" spans="1:9" ht="28" customHeight="1" x14ac:dyDescent="0.35">
      <c r="A14" s="14" t="s">
        <v>14</v>
      </c>
      <c r="B14" s="15"/>
      <c r="C14" s="15"/>
      <c r="D14" s="15"/>
      <c r="E14" s="15"/>
    </row>
  </sheetData>
  <mergeCells count="6">
    <mergeCell ref="A6:H6"/>
    <mergeCell ref="A14:E14"/>
    <mergeCell ref="A1:G1"/>
    <mergeCell ref="B3:D3"/>
    <mergeCell ref="B4:D4"/>
    <mergeCell ref="B5:D5"/>
  </mergeCells>
  <pageMargins left="0.75" right="0.75" top="1" bottom="1" header="0.511811023622047" footer="0.511811023622047"/>
  <pageSetup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semanal</vt:lpstr>
      <vt:lpstr>'Cronograma semanal'!Área_de_impresión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Andres</cp:lastModifiedBy>
  <cp:revision>0</cp:revision>
  <dcterms:created xsi:type="dcterms:W3CDTF">2026-10-14T18:42:27Z</dcterms:created>
  <dcterms:modified xsi:type="dcterms:W3CDTF">2026-10-22T21:04:34Z</dcterms:modified>
  <dc:language>en-US</dc:language>
</cp:coreProperties>
</file>
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zad\Downloads\"/>
    </mc:Choice>
  </mc:AlternateContent>
  <xr:revisionPtr revIDLastSave="0" documentId="13_ncr:1_{EE054F0D-C3ED-40A1-A817-81B4AE92E885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Cronograma semanal" sheetId="1" r:id="rId1"/>
    <sheet name="Hoja1" sheetId="2" r:id="rId2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2" l="1"/>
  <c r="F9" i="2"/>
  <c r="E9" i="2"/>
  <c r="D9" i="2"/>
  <c r="C9" i="2"/>
  <c r="G4" i="2"/>
  <c r="F9" i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D6D541C-C4FA-4A05-9D41-6FCD35EBECC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<sst xmlns="http://schemas.openxmlformats.org/spreadsheetml/2006/main" count="61" uniqueCount="38">
  <si>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</si>
  <si>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</si>
  <si>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</si>
  <si>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</si>
  <si>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</si>
  <si>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</si>
  <si>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</si>
  <si>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</si>
  <si>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</si>
  <si>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</si>
  <si>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</si>
  <si>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</si>
  <si>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</si>
  <si>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</si>
  <si>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</si>
  <si>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</si>
  <si>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</si>
  <si>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</si>
  <si>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 xml:space="preserve">Rol  Camilo Meza backend and frontend </t>
  </si>
  <si>
    <t>refactorizacion de estilos y actualizacion archivos binarios, actualizacion de colores de enfoques y botones para unificar el estilo agreagar botones de accion en tables mejorar el estilo de edicion y eliminacion de usuario, realizado en css y modulo de usuario</t>
  </si>
  <si>
    <t>Rol Andres Leudo frontend and backend</t>
  </si>
  <si>
    <t>implemetacion de configuarion y segurida al Exodus Funcionalidad: Incorporación de la gestión de roles y parámetros al módulo de configuración
- Se implementaron nuevas tablas en la base de datos para roles, permisos y parámetros.
- Se crearon rutas y plantillas para la gestión de roles y parámetros.
- Se mejoró la funcionalidad de inicio de sesión para recordar a los usuarios de forma segura mediante cookies firmadas.
- Se actualizó la navegación para incluir enlaces a la gestión de roles y parámetros.
- Se añadieron formularios para crear, editar y eliminar roles y parámetros.
- Se implementaron comprobaciones de permisos para la gestión de roles.</t>
  </si>
  <si>
    <t>Rol Nicolas Berrio frontend and backend</t>
  </si>
  <si>
    <t>EXODUS</t>
  </si>
  <si>
    <t>Maria Teresa Slcedo</t>
  </si>
  <si>
    <t>ADSO-Analisis y desarrollo de software</t>
  </si>
  <si>
    <t>Refactorización del esquema de la base de datos y actualización de archivos binarios
- Se actualizó el esquema SQL en `sistema_contable.sql` para incluir nuevas tablas: `aportes`, `deducciones`, `empleados`, `movimientos_inventario`, `nomina`, `novedades`, `parametros`, `permisos`, `productos`, `roles` y `rol_permiso`.
- Se añadieron claves primarias y restricciones de clave foránea para las nuevas tablas.
- Se modificó la tabla `usuarios` para incluir los campos `usuario` y `clave_hash`.
- Se actualizaron las sentencias `INSERT` para la tabla `usuarios`, incluyendo contraseñas cifradas mediante hash.
- Se actualizaron los archivos binarios en los directorios `__pycache__` de diversos módulos para reflejar los cambios recientes en el código.</t>
  </si>
  <si>
    <t>En consolidacion_service.py Se agregó el campo valor_inventario_inicial a los datos consolidados.
Esto lo que hace es  que el servicio de equilibrio calcule el cambio de inventario correcto.
En balance_service.py
Se cambió la fórmula del flujo de caja de restar compras_inventario (compras totales) a restar cambio_inventario (inventario final - inicial)
Ahora usa correctamente consolidado['valor_inventario_inicial'] del servicio de consolidación
El sistema ahora está completo y los tres estados financieros reflejan adecuadamente los datos de los módulos de nómina e inventario.
 Acabar de explicar. No hay más cambios necesarios a menos que quieras probar con datos históricos que tengan inventario inicial distinto de 0.</t>
  </si>
  <si>
    <t>"refactor: unificar entry point en Exodus-login; agregar favicon; corregir import parametros; actualizar SRS
- Copiar login UI, templates y assets estáticos de Modulo-contable a Exodus-login
- Reescribir Exodus-login/app.py como entry point principal registrando todos los módulos (auth, contabilidad, inventario, nomina, configuracion)
- Nuevo routes/auth.py con cookies firmadas (itsdangerous), rate-limit, canonicalización de roles
- Corregir parametros.py: importar listar_etiquetas desde inventario.modelo
- Agregar favicon.png + logo en sidebar a templates de Modulo-contable
- Actualizar readm.md: arquitectura desktop/Tkinter → web/Flask
- Eliminar Modulo-contable/app.py duplicado
- Corregir db.py manejo de conexión (id_usuario vs id)"</t>
  </si>
  <si>
    <t>Se hiceron ajustes en uno de los CSS para prevenir el desbordamiento en los contenedores flex y corrección en  las tarjetas.           Se agregaron estilos para el contenedor de filtro y el modal de edición, mejorando la disposición y la apariencia de los elementos.</t>
  </si>
  <si>
    <t xml:space="preserve"> Añadir configuracion de analisis de python y estilos para dialogos en el modulo de inventario</t>
  </si>
  <si>
    <t>En Nómina Se renovaron las plantillas (modulo.html, resumen.html), el CSS y el JS; además se eliminaron archivos públicos y el SQL de nómina.</t>
  </si>
  <si>
    <t>En Inventario Se trabajó la plantilla del módulo, el CSS y el JS; se eliminaron las etiquetas legacy.</t>
  </si>
  <si>
    <t>En Contabilidad Se incorporaron assets estáticos (CSS, JS) e imágenes de identidad visual en static/img/ (logo, favicons, apple-touch-icon); y se limpiaron 5 archivos ajenos al módulo.</t>
  </si>
  <si>
    <t xml:space="preserve"> En Nómina Se realizaron ajustes finales de la interfaz y una limpieza residual.</t>
  </si>
  <si>
    <t>En Inventario Se hicieron ajustes finales de interfaz y en stock.</t>
  </si>
  <si>
    <t>En Contabilidad Se actualizaron los modelos de usuario y contabilidad, las plantillas HTML (dashboard, login, error, balance general, estado de resultados, listar y registrar gastos) y el script SQL sistema_contable.sql</t>
  </si>
  <si>
    <t>En Nómina Se actualizó el núcleo del módulo (__init__.py, modelo.py, rutas.py) y se eliminó la API PHP legacy.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</si>
</sst>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0" fillId="0" borderId="0" xfId="0"/>
    <xf numFmtId="0" fontId="0" fillId="0" borderId="0" xfId="0"/>
    <xf numFmtId="0" fontId="11" fillId="8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12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opLeftCell="A13" zoomScale="70" zoomScaleNormal="70" workbookViewId="0">
      <selection sqref="A1:I13"/>
    </sheetView>
  </sheetViews>
  <sheetFormatPr baseColWidth="10" defaultColWidth="8.5703125" defaultRowHeight="15" x14ac:dyDescent="0.25"/>
  <cols>
    <col min="1" max="1" width="18.42578125" customWidth="1"/>
    <col min="2" max="2" width="14" customWidth="1"/>
    <col min="3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18" t="s">
        <v>0</v>
      </c>
      <c r="B1" s="18"/>
      <c r="C1" s="18"/>
      <c r="D1" s="18"/>
      <c r="E1" s="18"/>
      <c r="F1" s="18"/>
      <c r="G1" s="18"/>
    </row>
    <row r="3" spans="1:9" x14ac:dyDescent="0.25">
      <c r="A3" s="1" t="s">
        <v>1</v>
      </c>
      <c r="B3" s="19" t="s">
        <v>24</v>
      </c>
      <c r="C3" s="19"/>
      <c r="D3" s="19"/>
      <c r="F3" s="1" t="s">
        <v>2</v>
      </c>
      <c r="G3" s="2">
        <v>46307</v>
      </c>
    </row>
    <row r="4" spans="1:9" x14ac:dyDescent="0.25">
      <c r="A4" s="1" t="s">
        <v>3</v>
      </c>
      <c r="B4" s="19" t="s">
        <v>25</v>
      </c>
      <c r="C4" s="19"/>
      <c r="D4" s="19"/>
      <c r="F4" s="1" t="s">
        <v>15</v>
      </c>
      <c r="G4" s="3">
        <f>G3+4</f>
        <v>46311</v>
      </c>
    </row>
    <row r="5" spans="1:9" x14ac:dyDescent="0.25">
      <c r="A5" s="1" t="s">
        <v>11</v>
      </c>
      <c r="B5" s="19" t="s">
        <v>23</v>
      </c>
      <c r="C5" s="19"/>
      <c r="D5" s="19"/>
    </row>
    <row r="6" spans="1:9" ht="39" customHeight="1" x14ac:dyDescent="0.25">
      <c r="A6" s="14" t="s">
        <v>12</v>
      </c>
      <c r="B6" s="15"/>
      <c r="C6" s="15"/>
      <c r="D6" s="15"/>
      <c r="E6" s="15"/>
      <c r="F6" s="15"/>
      <c r="G6" s="15"/>
      <c r="H6" s="15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46307</v>
      </c>
      <c r="D9" s="6">
        <f>$G$3+1</f>
        <v>46308</v>
      </c>
      <c r="E9" s="6">
        <f>$G$3+2</f>
        <v>46309</v>
      </c>
      <c r="F9" s="6">
        <f>$G$3+3</f>
        <v>46310</v>
      </c>
      <c r="G9" s="6">
        <f>$G$3+4</f>
        <v>46311</v>
      </c>
      <c r="H9" s="6"/>
      <c r="I9" s="6" t="s">
        <v>17</v>
      </c>
    </row>
    <row r="10" spans="1:9" ht="348" customHeight="1" x14ac:dyDescent="0.25">
      <c r="A10" s="8" t="s">
        <v>18</v>
      </c>
      <c r="B10" s="9"/>
      <c r="C10" s="10"/>
      <c r="D10" s="10"/>
      <c r="E10" s="13" t="s">
        <v>19</v>
      </c>
      <c r="F10" s="13" t="s">
        <v>26</v>
      </c>
      <c r="G10" s="10"/>
      <c r="H10" s="10"/>
      <c r="I10" s="10"/>
    </row>
    <row r="11" spans="1:9" s="11" customFormat="1" ht="326.45" customHeight="1" x14ac:dyDescent="0.25">
      <c r="A11" s="8"/>
      <c r="B11" s="9"/>
      <c r="C11" s="10"/>
      <c r="D11" s="10"/>
      <c r="E11" s="13" t="s">
        <v>27</v>
      </c>
      <c r="F11" s="10"/>
      <c r="G11" s="10"/>
      <c r="H11" s="10"/>
      <c r="I11" s="10"/>
    </row>
    <row r="12" spans="1:9" ht="315" customHeight="1" x14ac:dyDescent="0.25">
      <c r="A12" s="8" t="s">
        <v>20</v>
      </c>
      <c r="B12" s="9"/>
      <c r="C12" s="10"/>
      <c r="D12" s="10"/>
      <c r="E12" s="10"/>
      <c r="F12" s="13" t="s">
        <v>21</v>
      </c>
      <c r="G12" s="13" t="s">
        <v>28</v>
      </c>
      <c r="H12" s="10"/>
      <c r="I12" s="10"/>
    </row>
    <row r="13" spans="1:9" ht="378" customHeight="1" x14ac:dyDescent="0.25">
      <c r="A13" s="8" t="s">
        <v>22</v>
      </c>
      <c r="B13" s="9"/>
      <c r="C13" s="10"/>
      <c r="D13" s="10"/>
      <c r="E13" s="10"/>
      <c r="F13" s="10"/>
      <c r="G13" s="10"/>
      <c r="H13" s="10"/>
      <c r="I13" s="10"/>
    </row>
    <row r="14" spans="1:9" ht="27.95" customHeight="1" x14ac:dyDescent="0.25">
      <c r="A14" s="16" t="s">
        <v>14</v>
      </c>
      <c r="B14" s="17"/>
      <c r="C14" s="17"/>
      <c r="D14" s="17"/>
      <c r="E14" s="17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C3E3-5692-4940-A5AD-7E3DC21A1B86}">
  <dimension ref="A1:I12"/>
  <sheetViews>
    <sheetView tabSelected="1" topLeftCell="A10" zoomScale="130" workbookViewId="0">
      <selection activeCell="F12" sqref="F12"/>
    </sheetView>
  </sheetViews>
  <sheetFormatPr baseColWidth="10" defaultRowHeight="15" x14ac:dyDescent="0.25"/>
  <cols>
    <col min="3" max="4" width="23" customWidth="1"/>
    <col min="5" max="5" width="24.85546875" customWidth="1"/>
    <col min="6" max="7" width="22.7109375" customWidth="1"/>
    <col min="8" max="8" width="30.85546875" customWidth="1"/>
  </cols>
  <sheetData>
    <row r="1" spans="1:9" ht="20.25" x14ac:dyDescent="0.3">
      <c r="A1" s="18" t="s">
        <v>0</v>
      </c>
      <c r="B1" s="18"/>
      <c r="C1" s="18"/>
      <c r="D1" s="18"/>
      <c r="E1" s="18"/>
      <c r="F1" s="18"/>
      <c r="G1" s="18"/>
      <c r="H1" s="12"/>
      <c r="I1" s="12"/>
    </row>
    <row r="2" spans="1:9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9" x14ac:dyDescent="0.25">
      <c r="A3" s="1" t="s">
        <v>1</v>
      </c>
      <c r="B3" s="19" t="s">
        <v>24</v>
      </c>
      <c r="C3" s="19"/>
      <c r="D3" s="19"/>
      <c r="E3" s="12"/>
      <c r="F3" s="1" t="s">
        <v>2</v>
      </c>
      <c r="G3" s="2">
        <v>46321</v>
      </c>
      <c r="H3" s="12"/>
      <c r="I3" s="12"/>
    </row>
    <row r="4" spans="1:9" x14ac:dyDescent="0.25">
      <c r="A4" s="1" t="s">
        <v>3</v>
      </c>
      <c r="B4" s="19" t="s">
        <v>25</v>
      </c>
      <c r="C4" s="19"/>
      <c r="D4" s="19"/>
      <c r="E4" s="12"/>
      <c r="F4" s="1" t="s">
        <v>15</v>
      </c>
      <c r="G4" s="3">
        <f>G3+4</f>
        <v>46325</v>
      </c>
      <c r="H4" s="12"/>
      <c r="I4" s="12"/>
    </row>
    <row r="5" spans="1:9" x14ac:dyDescent="0.25">
      <c r="A5" s="1" t="s">
        <v>11</v>
      </c>
      <c r="B5" s="19" t="s">
        <v>23</v>
      </c>
      <c r="C5" s="19"/>
      <c r="D5" s="19"/>
      <c r="E5" s="12"/>
      <c r="F5" s="12"/>
      <c r="G5" s="12"/>
      <c r="H5" s="12"/>
      <c r="I5" s="12"/>
    </row>
    <row r="6" spans="1:9" ht="15.75" x14ac:dyDescent="0.25">
      <c r="A6" s="14" t="s">
        <v>12</v>
      </c>
      <c r="B6" s="15"/>
      <c r="C6" s="15"/>
      <c r="D6" s="15"/>
      <c r="E6" s="15"/>
      <c r="F6" s="15"/>
      <c r="G6" s="15"/>
      <c r="H6" s="15"/>
      <c r="I6" s="12"/>
    </row>
    <row r="7" spans="1:9" x14ac:dyDescent="0.25">
      <c r="A7" s="12"/>
      <c r="B7" s="12"/>
      <c r="C7" s="12"/>
      <c r="D7" s="12"/>
      <c r="E7" s="12"/>
      <c r="F7" s="12"/>
      <c r="G7" s="12"/>
      <c r="H7" s="12"/>
      <c r="I7" s="12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/>
      <c r="C9" s="6">
        <f>$G$3+0</f>
        <v>46321</v>
      </c>
      <c r="D9" s="6">
        <f>$G$3+1</f>
        <v>46322</v>
      </c>
      <c r="E9" s="6">
        <f>$G$3+2</f>
        <v>46323</v>
      </c>
      <c r="F9" s="6">
        <f>$G$3+3</f>
        <v>46324</v>
      </c>
      <c r="G9" s="6">
        <f>$G$3+4</f>
        <v>46325</v>
      </c>
      <c r="H9" s="6"/>
      <c r="I9" s="6" t="s">
        <v>17</v>
      </c>
    </row>
    <row r="10" spans="1:9" ht="132" x14ac:dyDescent="0.25">
      <c r="A10" s="8" t="s">
        <v>18</v>
      </c>
      <c r="B10" s="9"/>
      <c r="C10" s="20" t="s">
        <v>29</v>
      </c>
      <c r="D10" s="10"/>
      <c r="E10" s="20" t="s">
        <v>36</v>
      </c>
      <c r="F10" s="20" t="s">
        <v>33</v>
      </c>
      <c r="G10" s="10"/>
      <c r="H10" s="10"/>
      <c r="I10" s="10"/>
    </row>
    <row r="11" spans="1:9" ht="72" x14ac:dyDescent="0.25">
      <c r="A11" s="8" t="s">
        <v>20</v>
      </c>
      <c r="B11" s="9"/>
      <c r="C11" s="20" t="s">
        <v>37</v>
      </c>
      <c r="D11" s="10"/>
      <c r="E11" s="20" t="s">
        <v>31</v>
      </c>
      <c r="F11" s="20" t="s">
        <v>34</v>
      </c>
      <c r="G11" s="13"/>
      <c r="H11" s="10"/>
      <c r="I11" s="10"/>
    </row>
    <row r="12" spans="1:9" ht="63.75" x14ac:dyDescent="0.25">
      <c r="A12" s="8" t="s">
        <v>22</v>
      </c>
      <c r="B12" s="9"/>
      <c r="C12" s="10" t="s">
        <v>30</v>
      </c>
      <c r="D12" s="10"/>
      <c r="E12" s="20" t="s">
        <v>32</v>
      </c>
      <c r="F12" s="20" t="s">
        <v>35</v>
      </c>
      <c r="G12" s="10"/>
      <c r="H12" s="10"/>
      <c r="I12" s="10"/>
    </row>
  </sheetData>
  <mergeCells count="5">
    <mergeCell ref="A1:G1"/>
    <mergeCell ref="B3:D3"/>
    <mergeCell ref="B4:D4"/>
    <mergeCell ref="B5:D5"/>
    <mergeCell ref="A6:H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Cronograma semanal</vt:lpstr>
      <vt:lpstr>Hoja1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camilo andres meza de avila</cp:lastModifiedBy>
  <cp:revision>0</cp:revision>
  <dcterms:created xsi:type="dcterms:W3CDTF">2026-10-14T18:42:27Z</dcterms:created>
  <dcterms:modified xsi:type="dcterms:W3CDTF">2026-10-29T20:04:40Z</dcterms:modified>
  <dc:language>en-US</dc:language>
</cp:coreProperties>
</file>